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Retirement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"/>
    <numFmt numFmtId="166" formatCode="$#,##0;($#,##0);&quot;-&quot;"/>
  </numFmts>
  <fonts count="14">
    <font>
      <name val="Calibri"/>
      <family val="2"/>
      <color theme="1"/>
      <sz val="11"/>
      <scheme val="minor"/>
    </font>
    <font>
      <b val="1"/>
      <sz val="14"/>
    </font>
    <font>
      <b val="1"/>
      <color rgb="000000FF"/>
    </font>
    <font>
      <color rgb="000000FF"/>
    </font>
    <font>
      <b val="1"/>
      <color rgb="00FFFFFF"/>
      <sz val="9"/>
    </font>
    <font>
      <color rgb="00059669"/>
    </font>
    <font>
      <color rgb="0064748B"/>
    </font>
    <font>
      <color rgb="00DC2626"/>
    </font>
    <font>
      <color rgb="00D97706"/>
    </font>
    <font>
      <b val="1"/>
    </font>
    <font>
      <b val="1"/>
      <color rgb="00059669"/>
    </font>
    <font>
      <color rgb="002563EB"/>
    </font>
    <font>
      <b val="1"/>
      <color rgb="00DC2626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B2B45"/>
      </patternFill>
    </fill>
    <fill>
      <patternFill patternType="solid">
        <fgColor rgb="000F2922"/>
      </patternFill>
    </fill>
    <fill>
      <patternFill patternType="solid">
        <fgColor rgb="000D1526"/>
      </patternFill>
    </fill>
    <fill>
      <patternFill patternType="solid">
        <fgColor rgb="000F1F33"/>
      </patternFill>
    </fill>
  </fills>
  <borders count="2">
    <border>
      <left/>
      <right/>
      <top/>
      <bottom/>
      <diagonal/>
    </border>
    <border>
      <right style="thin">
        <color rgb="001B2B45"/>
      </right>
      <bottom style="thin">
        <color rgb="00334155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5" fontId="3" fillId="0" borderId="0" pivotButton="0" quotePrefix="0" xfId="0"/>
    <xf numFmtId="165" fontId="0" fillId="0" borderId="0" pivotButton="0" quotePrefix="0" xfId="0"/>
    <xf numFmtId="164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" fontId="0" fillId="3" borderId="0" pivotButton="0" quotePrefix="0" xfId="0"/>
    <xf numFmtId="0" fontId="0" fillId="3" borderId="0" pivotButton="0" quotePrefix="0" xfId="0"/>
    <xf numFmtId="0" fontId="5" fillId="3" borderId="0" pivotButton="0" quotePrefix="0" xfId="0"/>
    <xf numFmtId="165" fontId="0" fillId="3" borderId="0" pivotButton="0" quotePrefix="0" xfId="0"/>
    <xf numFmtId="165" fontId="5" fillId="3" borderId="0" pivotButton="0" quotePrefix="0" xfId="0"/>
    <xf numFmtId="166" fontId="0" fillId="3" borderId="0" pivotButton="0" quotePrefix="0" xfId="0"/>
    <xf numFmtId="165" fontId="6" fillId="3" borderId="0" pivotButton="0" quotePrefix="0" xfId="0"/>
    <xf numFmtId="166" fontId="7" fillId="3" borderId="0" pivotButton="0" quotePrefix="0" xfId="0"/>
    <xf numFmtId="165" fontId="7" fillId="3" borderId="0" pivotButton="0" quotePrefix="0" xfId="0"/>
    <xf numFmtId="165" fontId="8" fillId="3" borderId="0" pivotButton="0" quotePrefix="0" xfId="0"/>
    <xf numFmtId="165" fontId="9" fillId="3" borderId="0" pivotButton="0" quotePrefix="0" xfId="0"/>
    <xf numFmtId="165" fontId="10" fillId="3" borderId="0" pivotButton="0" quotePrefix="0" xfId="0"/>
    <xf numFmtId="1" fontId="0" fillId="4" borderId="0" pivotButton="0" quotePrefix="0" xfId="0"/>
    <xf numFmtId="0" fontId="0" fillId="4" borderId="0" pivotButton="0" quotePrefix="0" xfId="0"/>
    <xf numFmtId="0" fontId="5" fillId="4" borderId="0" pivotButton="0" quotePrefix="0" xfId="0"/>
    <xf numFmtId="165" fontId="0" fillId="4" borderId="0" pivotButton="0" quotePrefix="0" xfId="0"/>
    <xf numFmtId="165" fontId="5" fillId="4" borderId="0" pivotButton="0" quotePrefix="0" xfId="0"/>
    <xf numFmtId="166" fontId="0" fillId="4" borderId="0" pivotButton="0" quotePrefix="0" xfId="0"/>
    <xf numFmtId="165" fontId="6" fillId="4" borderId="0" pivotButton="0" quotePrefix="0" xfId="0"/>
    <xf numFmtId="166" fontId="7" fillId="4" borderId="0" pivotButton="0" quotePrefix="0" xfId="0"/>
    <xf numFmtId="165" fontId="7" fillId="4" borderId="0" pivotButton="0" quotePrefix="0" xfId="0"/>
    <xf numFmtId="165" fontId="8" fillId="4" borderId="0" pivotButton="0" quotePrefix="0" xfId="0"/>
    <xf numFmtId="165" fontId="9" fillId="4" borderId="0" pivotButton="0" quotePrefix="0" xfId="0"/>
    <xf numFmtId="165" fontId="10" fillId="4" borderId="0" pivotButton="0" quotePrefix="0" xfId="0"/>
    <xf numFmtId="1" fontId="0" fillId="0" borderId="0" pivotButton="0" quotePrefix="0" xfId="0"/>
    <xf numFmtId="0" fontId="5" fillId="0" borderId="0" pivotButton="0" quotePrefix="0" xfId="0"/>
    <xf numFmtId="165" fontId="5" fillId="0" borderId="0" pivotButton="0" quotePrefix="0" xfId="0"/>
    <xf numFmtId="166" fontId="0" fillId="0" borderId="0" pivotButton="0" quotePrefix="0" xfId="0"/>
    <xf numFmtId="165" fontId="6" fillId="0" borderId="0" pivotButton="0" quotePrefix="0" xfId="0"/>
    <xf numFmtId="166" fontId="7" fillId="0" borderId="0" pivotButton="0" quotePrefix="0" xfId="0"/>
    <xf numFmtId="165" fontId="7" fillId="0" borderId="0" pivotButton="0" quotePrefix="0" xfId="0"/>
    <xf numFmtId="165" fontId="8" fillId="0" borderId="0" pivotButton="0" quotePrefix="0" xfId="0"/>
    <xf numFmtId="165" fontId="9" fillId="0" borderId="0" pivotButton="0" quotePrefix="0" xfId="0"/>
    <xf numFmtId="165" fontId="10" fillId="0" borderId="0" pivotButton="0" quotePrefix="0" xfId="0"/>
    <xf numFmtId="1" fontId="0" fillId="5" borderId="0" pivotButton="0" quotePrefix="0" xfId="0"/>
    <xf numFmtId="0" fontId="0" fillId="5" borderId="0" pivotButton="0" quotePrefix="0" xfId="0"/>
    <xf numFmtId="0" fontId="5" fillId="5" borderId="0" pivotButton="0" quotePrefix="0" xfId="0"/>
    <xf numFmtId="165" fontId="0" fillId="5" borderId="0" pivotButton="0" quotePrefix="0" xfId="0"/>
    <xf numFmtId="165" fontId="5" fillId="5" borderId="0" pivotButton="0" quotePrefix="0" xfId="0"/>
    <xf numFmtId="166" fontId="0" fillId="5" borderId="0" pivotButton="0" quotePrefix="0" xfId="0"/>
    <xf numFmtId="165" fontId="11" fillId="5" borderId="0" pivotButton="0" quotePrefix="0" xfId="0"/>
    <xf numFmtId="166" fontId="7" fillId="5" borderId="0" pivotButton="0" quotePrefix="0" xfId="0"/>
    <xf numFmtId="165" fontId="7" fillId="5" borderId="0" pivotButton="0" quotePrefix="0" xfId="0"/>
    <xf numFmtId="165" fontId="8" fillId="5" borderId="0" pivotButton="0" quotePrefix="0" xfId="0"/>
    <xf numFmtId="165" fontId="9" fillId="5" borderId="0" pivotButton="0" quotePrefix="0" xfId="0"/>
    <xf numFmtId="165" fontId="10" fillId="5" borderId="0" pivotButton="0" quotePrefix="0" xfId="0"/>
    <xf numFmtId="165" fontId="11" fillId="0" borderId="0" pivotButton="0" quotePrefix="0" xfId="0"/>
    <xf numFmtId="165" fontId="11" fillId="4" borderId="0" pivotButton="0" quotePrefix="0" xfId="0"/>
    <xf numFmtId="0" fontId="8" fillId="4" borderId="0" pivotButton="0" quotePrefix="0" xfId="0"/>
    <xf numFmtId="0" fontId="8" fillId="0" borderId="0" pivotButton="0" quotePrefix="0" xfId="0"/>
    <xf numFmtId="165" fontId="12" fillId="4" borderId="0" pivotButton="0" quotePrefix="0" xfId="0"/>
    <xf numFmtId="165" fontId="12" fillId="0" borderId="0" pivotButton="0" quotePrefix="0" xfId="0"/>
    <xf numFmtId="0" fontId="7" fillId="4" borderId="0" pivotButton="0" quotePrefix="0" xfId="0"/>
    <xf numFmtId="0" fontId="7" fillId="0" borderId="0" pivotButton="0" quotePrefix="0" xfId="0"/>
    <xf numFmtId="0" fontId="13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1" t="inlineStr">
        <is>
          <t>RETIREMENT PLAN ASSUMPTIONS</t>
        </is>
      </c>
      <c r="B1" t="inlineStr"/>
    </row>
    <row r="2">
      <c r="A2" t="inlineStr"/>
      <c r="B2" t="inlineStr"/>
    </row>
    <row r="3">
      <c r="A3" s="2" t="inlineStr">
        <is>
          <t>Personal</t>
        </is>
      </c>
      <c r="B3" t="inlineStr"/>
    </row>
    <row r="4">
      <c r="A4" t="inlineStr">
        <is>
          <t>Current Age</t>
        </is>
      </c>
      <c r="B4" s="3" t="n">
        <v>51</v>
      </c>
    </row>
    <row r="5">
      <c r="A5" t="inlineStr">
        <is>
          <t>Retirement Age</t>
        </is>
      </c>
      <c r="B5" s="3" t="n">
        <v>60</v>
      </c>
    </row>
    <row r="6">
      <c r="A6" t="inlineStr">
        <is>
          <t>Plan Through Age</t>
        </is>
      </c>
      <c r="B6" s="3" t="n">
        <v>95</v>
      </c>
    </row>
    <row r="7">
      <c r="A7" t="inlineStr">
        <is>
          <t>Filing Status</t>
        </is>
      </c>
      <c r="B7" t="inlineStr">
        <is>
          <t>Single</t>
        </is>
      </c>
    </row>
    <row r="8">
      <c r="A8" t="inlineStr">
        <is>
          <t>State</t>
        </is>
      </c>
      <c r="B8" t="inlineStr">
        <is>
          <t>CA</t>
        </is>
      </c>
    </row>
    <row r="9">
      <c r="A9" t="inlineStr"/>
      <c r="B9" t="inlineStr"/>
    </row>
    <row r="10">
      <c r="A10" s="2" t="inlineStr">
        <is>
          <t>Savings at Current Age</t>
        </is>
      </c>
      <c r="B10" t="inlineStr"/>
    </row>
    <row r="11">
      <c r="A11" t="inlineStr">
        <is>
          <t>401(k) Balance</t>
        </is>
      </c>
      <c r="B11" s="4" t="n">
        <v>1500000</v>
      </c>
    </row>
    <row r="12">
      <c r="A12" t="inlineStr">
        <is>
          <t>Roth IRA Balance</t>
        </is>
      </c>
      <c r="B12" s="4" t="n">
        <v>10000</v>
      </c>
    </row>
    <row r="13">
      <c r="A13" t="inlineStr">
        <is>
          <t>Taxable Brokerage</t>
        </is>
      </c>
      <c r="B13" s="4" t="n">
        <v>10000</v>
      </c>
    </row>
    <row r="14">
      <c r="A14" t="inlineStr">
        <is>
          <t>HSA Balance</t>
        </is>
      </c>
      <c r="B14" s="4" t="n">
        <v>51000</v>
      </c>
    </row>
    <row r="15">
      <c r="A15" t="inlineStr">
        <is>
          <t>Total Portfolio</t>
        </is>
      </c>
      <c r="B15" s="5">
        <f>SUM(B11:B14)</f>
        <v/>
      </c>
    </row>
    <row r="16">
      <c r="A16" t="inlineStr">
        <is>
          <t>Monthly Contribution</t>
        </is>
      </c>
      <c r="B16" s="4" t="n">
        <v>2500</v>
      </c>
    </row>
    <row r="17">
      <c r="A17" t="inlineStr"/>
      <c r="B17" t="inlineStr"/>
    </row>
    <row r="18">
      <c r="A18" s="2" t="inlineStr">
        <is>
          <t>Income Sources</t>
        </is>
      </c>
      <c r="B18" t="inlineStr"/>
    </row>
    <row r="19">
      <c r="A19" t="inlineStr">
        <is>
          <t>Annual Salary</t>
        </is>
      </c>
      <c r="B19" s="4" t="n">
        <v>210000</v>
      </c>
    </row>
    <row r="20">
      <c r="A20" t="inlineStr">
        <is>
          <t>Salary Growth</t>
        </is>
      </c>
      <c r="B20" s="6" t="n">
        <v>0.03</v>
      </c>
    </row>
    <row r="21">
      <c r="A21" t="inlineStr">
        <is>
          <t>SS Monthly Benefit (at FRA)</t>
        </is>
      </c>
      <c r="B21" s="3" t="n">
        <v>2500</v>
      </c>
    </row>
    <row r="22">
      <c r="A22" t="inlineStr">
        <is>
          <t>SS Start Age</t>
        </is>
      </c>
      <c r="B22" s="3" t="n">
        <v>67</v>
      </c>
    </row>
    <row r="23">
      <c r="A23" t="inlineStr">
        <is>
          <t>SS COLA</t>
        </is>
      </c>
      <c r="B23" s="6" t="n">
        <v>0.02</v>
      </c>
    </row>
    <row r="24">
      <c r="A24" t="inlineStr"/>
      <c r="B24" t="inlineStr"/>
    </row>
    <row r="25">
      <c r="A25" s="2" t="inlineStr">
        <is>
          <t>Returns</t>
        </is>
      </c>
      <c r="B25" t="inlineStr"/>
    </row>
    <row r="26">
      <c r="A26" t="inlineStr">
        <is>
          <t>Working Return</t>
        </is>
      </c>
      <c r="B26" s="6" t="n">
        <v>0.07000000000000001</v>
      </c>
    </row>
    <row r="27">
      <c r="A27" t="inlineStr">
        <is>
          <t>Retirement Return (60% of working)</t>
        </is>
      </c>
      <c r="B27">
        <f>B26*0.6</f>
        <v/>
      </c>
    </row>
    <row r="28">
      <c r="A28" t="inlineStr"/>
      <c r="B28" t="inlineStr"/>
    </row>
    <row r="29">
      <c r="A29" s="2" t="inlineStr">
        <is>
          <t>Spending</t>
        </is>
      </c>
      <c r="B29" t="inlineStr"/>
    </row>
    <row r="30">
      <c r="A30" t="inlineStr">
        <is>
          <t>Current Annual Spending</t>
        </is>
      </c>
      <c r="B30" s="4" t="n">
        <v>100000</v>
      </c>
    </row>
    <row r="31">
      <c r="A31" t="inlineStr">
        <is>
          <t>Retirement Annual Spending (today $)</t>
        </is>
      </c>
      <c r="B31" s="4" t="n">
        <v>70000</v>
      </c>
    </row>
    <row r="32">
      <c r="A32" t="inlineStr">
        <is>
          <t>General Inflation</t>
        </is>
      </c>
      <c r="B32" s="6" t="n">
        <v>0.025</v>
      </c>
    </row>
    <row r="33">
      <c r="A33" t="inlineStr">
        <is>
          <t>Healthcare Inflation</t>
        </is>
      </c>
      <c r="B33" s="6" t="n">
        <v>0.035</v>
      </c>
    </row>
    <row r="34">
      <c r="A34" t="inlineStr"/>
      <c r="B34" t="inlineStr"/>
    </row>
    <row r="35">
      <c r="A35" s="2" t="inlineStr">
        <is>
          <t>Retirement Phases</t>
        </is>
      </c>
      <c r="B35" t="inlineStr"/>
    </row>
    <row r="36">
      <c r="A36" t="inlineStr">
        <is>
          <t>Go-Go Phase (retire to)</t>
        </is>
      </c>
      <c r="B36" s="3" t="n">
        <v>75</v>
      </c>
    </row>
    <row r="37">
      <c r="A37" t="inlineStr">
        <is>
          <t>Slow-Go Phase (to)</t>
        </is>
      </c>
      <c r="B37" s="3" t="n">
        <v>85</v>
      </c>
    </row>
    <row r="38">
      <c r="A38" t="inlineStr">
        <is>
          <t>Go-Go Spending</t>
        </is>
      </c>
      <c r="B38" t="inlineStr">
        <is>
          <t>100%</t>
        </is>
      </c>
    </row>
    <row r="39">
      <c r="A39" t="inlineStr">
        <is>
          <t>Slow-Go Spending</t>
        </is>
      </c>
      <c r="B39" t="inlineStr">
        <is>
          <t>85%</t>
        </is>
      </c>
    </row>
    <row r="40">
      <c r="A40" t="inlineStr">
        <is>
          <t>No-Go Spending</t>
        </is>
      </c>
      <c r="B40" t="inlineStr">
        <is>
          <t>70%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</sheetPr>
  <dimension ref="A1:S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8" customWidth="1" min="3" max="3"/>
    <col width="16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4" customWidth="1" min="10" max="10"/>
    <col width="13" customWidth="1" min="11" max="11"/>
    <col width="14" customWidth="1" min="12" max="12"/>
    <col width="14" customWidth="1" min="13" max="13"/>
    <col width="15" customWidth="1" min="14" max="14"/>
    <col width="14" customWidth="1" min="15" max="15"/>
    <col width="14" customWidth="1" min="16" max="16"/>
    <col width="16" customWidth="1" min="17" max="17"/>
    <col width="16" customWidth="1" min="18" max="18"/>
    <col width="14" customWidth="1" min="19" max="19"/>
  </cols>
  <sheetData>
    <row r="1" ht="36" customHeight="1">
      <c r="A1" s="7" t="inlineStr">
        <is>
          <t>Year</t>
        </is>
      </c>
      <c r="B1" s="7" t="inlineStr">
        <is>
          <t>Age</t>
        </is>
      </c>
      <c r="C1" s="7" t="inlineStr">
        <is>
          <t>Phase</t>
        </is>
      </c>
      <c r="D1" s="7" t="inlineStr">
        <is>
          <t>Portfolio
Start of Year</t>
        </is>
      </c>
      <c r="E1" s="7" t="inlineStr">
        <is>
          <t>Investment
Returns</t>
        </is>
      </c>
      <c r="F1" s="7" t="inlineStr">
        <is>
          <t>Salary</t>
        </is>
      </c>
      <c r="G1" s="7" t="inlineStr">
        <is>
          <t>Social
Security</t>
        </is>
      </c>
      <c r="H1" s="7" t="inlineStr">
        <is>
          <t>Total
Income</t>
        </is>
      </c>
      <c r="I1" s="7" t="inlineStr">
        <is>
          <t>Essential
Expenses</t>
        </is>
      </c>
      <c r="J1" s="7" t="inlineStr">
        <is>
          <t>Discretionary
Expenses</t>
        </is>
      </c>
      <c r="K1" s="7" t="inlineStr">
        <is>
          <t>Healthcare
Costs</t>
        </is>
      </c>
      <c r="L1" s="7" t="inlineStr">
        <is>
          <t>Total
Expenses</t>
        </is>
      </c>
      <c r="M1" s="7" t="inlineStr">
        <is>
          <t>Income vs
Expenses Gap</t>
        </is>
      </c>
      <c r="N1" s="7" t="inlineStr">
        <is>
          <t>Withdrawal
from Portfolio</t>
        </is>
      </c>
      <c r="O1" s="7" t="inlineStr">
        <is>
          <t>Est. Tax on
Withdrawal</t>
        </is>
      </c>
      <c r="P1" s="7" t="inlineStr">
        <is>
          <t>Net Portfolio
Change</t>
        </is>
      </c>
      <c r="Q1" s="7" t="inlineStr">
        <is>
          <t>Portfolio
End of Year</t>
        </is>
      </c>
      <c r="R1" s="7" t="inlineStr">
        <is>
          <t>Cumulative
Withdrawals</t>
        </is>
      </c>
      <c r="S1" s="7" t="inlineStr">
        <is>
          <t>Legacy
Amount</t>
        </is>
      </c>
    </row>
    <row r="2">
      <c r="A2" s="8" t="n">
        <v>2035</v>
      </c>
      <c r="B2" s="9" t="n">
        <v>60</v>
      </c>
      <c r="C2" s="10" t="inlineStr">
        <is>
          <t>Go-Go</t>
        </is>
      </c>
      <c r="D2" s="11" t="n">
        <v>1571000</v>
      </c>
      <c r="E2" s="12" t="n">
        <v>65982</v>
      </c>
      <c r="F2" s="13" t="n">
        <v>0</v>
      </c>
      <c r="G2" s="14" t="n">
        <v>0</v>
      </c>
      <c r="H2" s="11" t="n">
        <v>0</v>
      </c>
      <c r="I2" s="11" t="n">
        <v>52452</v>
      </c>
      <c r="J2" s="11" t="n">
        <v>34968</v>
      </c>
      <c r="K2" s="11" t="n">
        <v>14719</v>
      </c>
      <c r="L2" s="11" t="n">
        <v>102139</v>
      </c>
      <c r="M2" s="15" t="n">
        <v>-102139</v>
      </c>
      <c r="N2" s="16" t="n">
        <v>130947</v>
      </c>
      <c r="O2" s="17" t="n">
        <v>36665</v>
      </c>
      <c r="P2" s="15" t="n">
        <v>-64965</v>
      </c>
      <c r="Q2" s="18" t="n">
        <v>1506035</v>
      </c>
      <c r="R2" s="11" t="n">
        <v>130947</v>
      </c>
      <c r="S2" s="19" t="n">
        <v>1506035</v>
      </c>
    </row>
    <row r="3">
      <c r="A3" s="20" t="n">
        <v>2036</v>
      </c>
      <c r="B3" s="21" t="n">
        <v>61</v>
      </c>
      <c r="C3" s="22" t="inlineStr">
        <is>
          <t>Go-Go</t>
        </is>
      </c>
      <c r="D3" s="23" t="n">
        <v>1506035</v>
      </c>
      <c r="E3" s="24" t="n">
        <v>63253</v>
      </c>
      <c r="F3" s="25" t="n">
        <v>0</v>
      </c>
      <c r="G3" s="26" t="n">
        <v>0</v>
      </c>
      <c r="H3" s="23" t="n">
        <v>0</v>
      </c>
      <c r="I3" s="23" t="n">
        <v>53764</v>
      </c>
      <c r="J3" s="23" t="n">
        <v>35842</v>
      </c>
      <c r="K3" s="23" t="n">
        <v>15234</v>
      </c>
      <c r="L3" s="23" t="n">
        <v>104840</v>
      </c>
      <c r="M3" s="27" t="n">
        <v>-104840</v>
      </c>
      <c r="N3" s="28" t="n">
        <v>134410</v>
      </c>
      <c r="O3" s="29" t="n">
        <v>37635</v>
      </c>
      <c r="P3" s="27" t="n">
        <v>-71157</v>
      </c>
      <c r="Q3" s="30" t="n">
        <v>1434878</v>
      </c>
      <c r="R3" s="23" t="n">
        <v>265357</v>
      </c>
      <c r="S3" s="31" t="n">
        <v>1434878</v>
      </c>
    </row>
    <row r="4">
      <c r="A4" s="32" t="n">
        <v>2037</v>
      </c>
      <c r="B4" t="n">
        <v>62</v>
      </c>
      <c r="C4" s="33" t="inlineStr">
        <is>
          <t>Go-Go</t>
        </is>
      </c>
      <c r="D4" s="5" t="n">
        <v>1434878</v>
      </c>
      <c r="E4" s="34" t="n">
        <v>60265</v>
      </c>
      <c r="F4" s="35" t="n">
        <v>0</v>
      </c>
      <c r="G4" s="36" t="n">
        <v>0</v>
      </c>
      <c r="H4" s="5" t="n">
        <v>0</v>
      </c>
      <c r="I4" s="5" t="n">
        <v>55108</v>
      </c>
      <c r="J4" s="5" t="n">
        <v>36738</v>
      </c>
      <c r="K4" s="5" t="n">
        <v>15768</v>
      </c>
      <c r="L4" s="5" t="n">
        <v>107614</v>
      </c>
      <c r="M4" s="37" t="n">
        <v>-107614</v>
      </c>
      <c r="N4" s="38" t="n">
        <v>137967</v>
      </c>
      <c r="O4" s="39" t="n">
        <v>38631</v>
      </c>
      <c r="P4" s="37" t="n">
        <v>-77702</v>
      </c>
      <c r="Q4" s="40" t="n">
        <v>1357176</v>
      </c>
      <c r="R4" s="5" t="n">
        <v>403324</v>
      </c>
      <c r="S4" s="41" t="n">
        <v>1357176</v>
      </c>
    </row>
    <row r="5">
      <c r="A5" s="20" t="n">
        <v>2038</v>
      </c>
      <c r="B5" s="21" t="n">
        <v>63</v>
      </c>
      <c r="C5" s="22" t="inlineStr">
        <is>
          <t>Go-Go</t>
        </is>
      </c>
      <c r="D5" s="23" t="n">
        <v>1357176</v>
      </c>
      <c r="E5" s="24" t="n">
        <v>57001</v>
      </c>
      <c r="F5" s="25" t="n">
        <v>0</v>
      </c>
      <c r="G5" s="26" t="n">
        <v>0</v>
      </c>
      <c r="H5" s="23" t="n">
        <v>0</v>
      </c>
      <c r="I5" s="23" t="n">
        <v>56485</v>
      </c>
      <c r="J5" s="23" t="n">
        <v>37657</v>
      </c>
      <c r="K5" s="23" t="n">
        <v>16320</v>
      </c>
      <c r="L5" s="23" t="n">
        <v>110462</v>
      </c>
      <c r="M5" s="27" t="n">
        <v>-110462</v>
      </c>
      <c r="N5" s="28" t="n">
        <v>141618</v>
      </c>
      <c r="O5" s="29" t="n">
        <v>39653</v>
      </c>
      <c r="P5" s="27" t="n">
        <v>-84617</v>
      </c>
      <c r="Q5" s="30" t="n">
        <v>1272559</v>
      </c>
      <c r="R5" s="23" t="n">
        <v>544942</v>
      </c>
      <c r="S5" s="31" t="n">
        <v>1272559</v>
      </c>
    </row>
    <row r="6">
      <c r="A6" s="32" t="n">
        <v>2039</v>
      </c>
      <c r="B6" t="n">
        <v>64</v>
      </c>
      <c r="C6" s="33" t="inlineStr">
        <is>
          <t>Go-Go</t>
        </is>
      </c>
      <c r="D6" s="5" t="n">
        <v>1272559</v>
      </c>
      <c r="E6" s="34" t="n">
        <v>53447</v>
      </c>
      <c r="F6" s="35" t="n">
        <v>0</v>
      </c>
      <c r="G6" s="36" t="n">
        <v>0</v>
      </c>
      <c r="H6" s="5" t="n">
        <v>0</v>
      </c>
      <c r="I6" s="5" t="n">
        <v>57897</v>
      </c>
      <c r="J6" s="5" t="n">
        <v>38598</v>
      </c>
      <c r="K6" s="5" t="n">
        <v>16891</v>
      </c>
      <c r="L6" s="5" t="n">
        <v>113386</v>
      </c>
      <c r="M6" s="37" t="n">
        <v>-113386</v>
      </c>
      <c r="N6" s="38" t="n">
        <v>145367</v>
      </c>
      <c r="O6" s="39" t="n">
        <v>40703</v>
      </c>
      <c r="P6" s="37" t="n">
        <v>-91920</v>
      </c>
      <c r="Q6" s="40" t="n">
        <v>1180639</v>
      </c>
      <c r="R6" s="5" t="n">
        <v>690309</v>
      </c>
      <c r="S6" s="41" t="n">
        <v>1180639</v>
      </c>
    </row>
    <row r="7">
      <c r="A7" s="20" t="n">
        <v>2040</v>
      </c>
      <c r="B7" s="21" t="n">
        <v>65</v>
      </c>
      <c r="C7" s="22" t="inlineStr">
        <is>
          <t>Go-Go</t>
        </is>
      </c>
      <c r="D7" s="23" t="n">
        <v>1180639</v>
      </c>
      <c r="E7" s="24" t="n">
        <v>49587</v>
      </c>
      <c r="F7" s="25" t="n">
        <v>0</v>
      </c>
      <c r="G7" s="26" t="n">
        <v>0</v>
      </c>
      <c r="H7" s="23" t="n">
        <v>0</v>
      </c>
      <c r="I7" s="23" t="n">
        <v>59345</v>
      </c>
      <c r="J7" s="23" t="n">
        <v>39563</v>
      </c>
      <c r="K7" s="23" t="n">
        <v>8741</v>
      </c>
      <c r="L7" s="23" t="n">
        <v>107649</v>
      </c>
      <c r="M7" s="27" t="n">
        <v>-107649</v>
      </c>
      <c r="N7" s="28" t="n">
        <v>138012</v>
      </c>
      <c r="O7" s="29" t="n">
        <v>38643</v>
      </c>
      <c r="P7" s="27" t="n">
        <v>-88425</v>
      </c>
      <c r="Q7" s="30" t="n">
        <v>1092214</v>
      </c>
      <c r="R7" s="23" t="n">
        <v>828321</v>
      </c>
      <c r="S7" s="31" t="n">
        <v>1092214</v>
      </c>
    </row>
    <row r="8">
      <c r="A8" s="32" t="n">
        <v>2041</v>
      </c>
      <c r="B8" t="n">
        <v>66</v>
      </c>
      <c r="C8" s="33" t="inlineStr">
        <is>
          <t>Go-Go</t>
        </is>
      </c>
      <c r="D8" s="5" t="n">
        <v>1092214</v>
      </c>
      <c r="E8" s="34" t="n">
        <v>45873</v>
      </c>
      <c r="F8" s="35" t="n">
        <v>0</v>
      </c>
      <c r="G8" s="36" t="n">
        <v>0</v>
      </c>
      <c r="H8" s="5" t="n">
        <v>0</v>
      </c>
      <c r="I8" s="5" t="n">
        <v>60829</v>
      </c>
      <c r="J8" s="5" t="n">
        <v>40552</v>
      </c>
      <c r="K8" s="5" t="n">
        <v>9047</v>
      </c>
      <c r="L8" s="5" t="n">
        <v>110428</v>
      </c>
      <c r="M8" s="37" t="n">
        <v>-110428</v>
      </c>
      <c r="N8" s="38" t="n">
        <v>141574</v>
      </c>
      <c r="O8" s="39" t="n">
        <v>39641</v>
      </c>
      <c r="P8" s="37" t="n">
        <v>-95701</v>
      </c>
      <c r="Q8" s="40" t="n">
        <v>996513</v>
      </c>
      <c r="R8" s="5" t="n">
        <v>969895</v>
      </c>
      <c r="S8" s="41" t="n">
        <v>996513</v>
      </c>
    </row>
    <row r="9">
      <c r="A9" s="42" t="n">
        <v>2042</v>
      </c>
      <c r="B9" s="43" t="n">
        <v>67</v>
      </c>
      <c r="C9" s="44" t="inlineStr">
        <is>
          <t>Go-Go</t>
        </is>
      </c>
      <c r="D9" s="45" t="n">
        <v>996513</v>
      </c>
      <c r="E9" s="46" t="n">
        <v>41854</v>
      </c>
      <c r="F9" s="47" t="n">
        <v>0</v>
      </c>
      <c r="G9" s="48" t="n">
        <v>30000</v>
      </c>
      <c r="H9" s="45" t="n">
        <v>30000</v>
      </c>
      <c r="I9" s="45" t="n">
        <v>62349</v>
      </c>
      <c r="J9" s="45" t="n">
        <v>41566</v>
      </c>
      <c r="K9" s="45" t="n">
        <v>9364</v>
      </c>
      <c r="L9" s="45" t="n">
        <v>113279</v>
      </c>
      <c r="M9" s="49" t="n">
        <v>-83279</v>
      </c>
      <c r="N9" s="50" t="n">
        <v>106768</v>
      </c>
      <c r="O9" s="51" t="n">
        <v>29895</v>
      </c>
      <c r="P9" s="49" t="n">
        <v>-64914</v>
      </c>
      <c r="Q9" s="52" t="n">
        <v>931599</v>
      </c>
      <c r="R9" s="45" t="n">
        <v>1076663</v>
      </c>
      <c r="S9" s="53" t="n">
        <v>931599</v>
      </c>
    </row>
    <row r="10">
      <c r="A10" s="32" t="n">
        <v>2043</v>
      </c>
      <c r="B10" t="n">
        <v>68</v>
      </c>
      <c r="C10" s="33" t="inlineStr">
        <is>
          <t>Go-Go</t>
        </is>
      </c>
      <c r="D10" s="5" t="n">
        <v>931599</v>
      </c>
      <c r="E10" s="34" t="n">
        <v>39127</v>
      </c>
      <c r="F10" s="35" t="n">
        <v>0</v>
      </c>
      <c r="G10" s="54" t="n">
        <v>30600</v>
      </c>
      <c r="H10" s="5" t="n">
        <v>30600</v>
      </c>
      <c r="I10" s="5" t="n">
        <v>63908</v>
      </c>
      <c r="J10" s="5" t="n">
        <v>42605</v>
      </c>
      <c r="K10" s="5" t="n">
        <v>9691</v>
      </c>
      <c r="L10" s="5" t="n">
        <v>116204</v>
      </c>
      <c r="M10" s="37" t="n">
        <v>-85604</v>
      </c>
      <c r="N10" s="38" t="n">
        <v>109749</v>
      </c>
      <c r="O10" s="39" t="n">
        <v>30730</v>
      </c>
      <c r="P10" s="37" t="n">
        <v>-70622</v>
      </c>
      <c r="Q10" s="40" t="n">
        <v>860977</v>
      </c>
      <c r="R10" s="5" t="n">
        <v>1186412</v>
      </c>
      <c r="S10" s="41" t="n">
        <v>860977</v>
      </c>
    </row>
    <row r="11">
      <c r="A11" s="20" t="n">
        <v>2044</v>
      </c>
      <c r="B11" s="21" t="n">
        <v>69</v>
      </c>
      <c r="C11" s="22" t="inlineStr">
        <is>
          <t>Go-Go</t>
        </is>
      </c>
      <c r="D11" s="23" t="n">
        <v>860977</v>
      </c>
      <c r="E11" s="24" t="n">
        <v>36161</v>
      </c>
      <c r="F11" s="25" t="n">
        <v>0</v>
      </c>
      <c r="G11" s="55" t="n">
        <v>31212</v>
      </c>
      <c r="H11" s="23" t="n">
        <v>31212</v>
      </c>
      <c r="I11" s="23" t="n">
        <v>65506</v>
      </c>
      <c r="J11" s="23" t="n">
        <v>43670</v>
      </c>
      <c r="K11" s="23" t="n">
        <v>10030</v>
      </c>
      <c r="L11" s="23" t="n">
        <v>119206</v>
      </c>
      <c r="M11" s="27" t="n">
        <v>-87994</v>
      </c>
      <c r="N11" s="28" t="n">
        <v>112813</v>
      </c>
      <c r="O11" s="29" t="n">
        <v>31588</v>
      </c>
      <c r="P11" s="27" t="n">
        <v>-76652</v>
      </c>
      <c r="Q11" s="30" t="n">
        <v>784325</v>
      </c>
      <c r="R11" s="23" t="n">
        <v>1299225</v>
      </c>
      <c r="S11" s="31" t="n">
        <v>784325</v>
      </c>
    </row>
    <row r="12">
      <c r="A12" s="32" t="n">
        <v>2045</v>
      </c>
      <c r="B12" t="n">
        <v>70</v>
      </c>
      <c r="C12" s="33" t="inlineStr">
        <is>
          <t>Go-Go</t>
        </is>
      </c>
      <c r="D12" s="5" t="n">
        <v>784325</v>
      </c>
      <c r="E12" s="34" t="n">
        <v>32942</v>
      </c>
      <c r="F12" s="35" t="n">
        <v>0</v>
      </c>
      <c r="G12" s="54" t="n">
        <v>31836</v>
      </c>
      <c r="H12" s="5" t="n">
        <v>31836</v>
      </c>
      <c r="I12" s="5" t="n">
        <v>67143</v>
      </c>
      <c r="J12" s="5" t="n">
        <v>44762</v>
      </c>
      <c r="K12" s="5" t="n">
        <v>10382</v>
      </c>
      <c r="L12" s="5" t="n">
        <v>122287</v>
      </c>
      <c r="M12" s="37" t="n">
        <v>-90451</v>
      </c>
      <c r="N12" s="38" t="n">
        <v>115963</v>
      </c>
      <c r="O12" s="39" t="n">
        <v>32470</v>
      </c>
      <c r="P12" s="37" t="n">
        <v>-83021</v>
      </c>
      <c r="Q12" s="40" t="n">
        <v>701304</v>
      </c>
      <c r="R12" s="5" t="n">
        <v>1415188</v>
      </c>
      <c r="S12" s="41" t="n">
        <v>701304</v>
      </c>
    </row>
    <row r="13">
      <c r="A13" s="20" t="n">
        <v>2046</v>
      </c>
      <c r="B13" s="21" t="n">
        <v>71</v>
      </c>
      <c r="C13" s="22" t="inlineStr">
        <is>
          <t>Go-Go</t>
        </is>
      </c>
      <c r="D13" s="23" t="n">
        <v>701304</v>
      </c>
      <c r="E13" s="24" t="n">
        <v>29455</v>
      </c>
      <c r="F13" s="25" t="n">
        <v>0</v>
      </c>
      <c r="G13" s="55" t="n">
        <v>32473</v>
      </c>
      <c r="H13" s="23" t="n">
        <v>32473</v>
      </c>
      <c r="I13" s="23" t="n">
        <v>68822</v>
      </c>
      <c r="J13" s="23" t="n">
        <v>45881</v>
      </c>
      <c r="K13" s="23" t="n">
        <v>10745</v>
      </c>
      <c r="L13" s="23" t="n">
        <v>125448</v>
      </c>
      <c r="M13" s="27" t="n">
        <v>-92975</v>
      </c>
      <c r="N13" s="28" t="n">
        <v>119199</v>
      </c>
      <c r="O13" s="29" t="n">
        <v>33376</v>
      </c>
      <c r="P13" s="27" t="n">
        <v>-89744</v>
      </c>
      <c r="Q13" s="30" t="n">
        <v>611560</v>
      </c>
      <c r="R13" s="23" t="n">
        <v>1534387</v>
      </c>
      <c r="S13" s="31" t="n">
        <v>611560</v>
      </c>
    </row>
    <row r="14">
      <c r="A14" s="32" t="n">
        <v>2047</v>
      </c>
      <c r="B14" t="n">
        <v>72</v>
      </c>
      <c r="C14" s="33" t="inlineStr">
        <is>
          <t>Go-Go</t>
        </is>
      </c>
      <c r="D14" s="5" t="n">
        <v>611560</v>
      </c>
      <c r="E14" s="34" t="n">
        <v>25686</v>
      </c>
      <c r="F14" s="35" t="n">
        <v>0</v>
      </c>
      <c r="G14" s="54" t="n">
        <v>33122</v>
      </c>
      <c r="H14" s="5" t="n">
        <v>33122</v>
      </c>
      <c r="I14" s="5" t="n">
        <v>70542</v>
      </c>
      <c r="J14" s="5" t="n">
        <v>47028</v>
      </c>
      <c r="K14" s="5" t="n">
        <v>11121</v>
      </c>
      <c r="L14" s="5" t="n">
        <v>128691</v>
      </c>
      <c r="M14" s="37" t="n">
        <v>-95569</v>
      </c>
      <c r="N14" s="38" t="n">
        <v>122524</v>
      </c>
      <c r="O14" s="39" t="n">
        <v>34307</v>
      </c>
      <c r="P14" s="37" t="n">
        <v>-96838</v>
      </c>
      <c r="Q14" s="40" t="n">
        <v>514722</v>
      </c>
      <c r="R14" s="5" t="n">
        <v>1656911</v>
      </c>
      <c r="S14" s="41" t="n">
        <v>514722</v>
      </c>
    </row>
    <row r="15">
      <c r="A15" s="20" t="n">
        <v>2048</v>
      </c>
      <c r="B15" s="21" t="n">
        <v>73</v>
      </c>
      <c r="C15" s="22" t="inlineStr">
        <is>
          <t>Go-Go</t>
        </is>
      </c>
      <c r="D15" s="23" t="n">
        <v>514722</v>
      </c>
      <c r="E15" s="24" t="n">
        <v>21618</v>
      </c>
      <c r="F15" s="25" t="n">
        <v>0</v>
      </c>
      <c r="G15" s="55" t="n">
        <v>33785</v>
      </c>
      <c r="H15" s="23" t="n">
        <v>33785</v>
      </c>
      <c r="I15" s="23" t="n">
        <v>72306</v>
      </c>
      <c r="J15" s="23" t="n">
        <v>48204</v>
      </c>
      <c r="K15" s="23" t="n">
        <v>11510</v>
      </c>
      <c r="L15" s="23" t="n">
        <v>132020</v>
      </c>
      <c r="M15" s="27" t="n">
        <v>-98235</v>
      </c>
      <c r="N15" s="28" t="n">
        <v>125942</v>
      </c>
      <c r="O15" s="29" t="n">
        <v>35264</v>
      </c>
      <c r="P15" s="27" t="n">
        <v>-104324</v>
      </c>
      <c r="Q15" s="30" t="n">
        <v>410398</v>
      </c>
      <c r="R15" s="23" t="n">
        <v>1782853</v>
      </c>
      <c r="S15" s="31" t="n">
        <v>410398</v>
      </c>
    </row>
    <row r="16">
      <c r="A16" s="32" t="n">
        <v>2049</v>
      </c>
      <c r="B16" t="n">
        <v>74</v>
      </c>
      <c r="C16" s="33" t="inlineStr">
        <is>
          <t>Go-Go</t>
        </is>
      </c>
      <c r="D16" s="5" t="n">
        <v>410398</v>
      </c>
      <c r="E16" s="34" t="n">
        <v>17237</v>
      </c>
      <c r="F16" s="35" t="n">
        <v>0</v>
      </c>
      <c r="G16" s="54" t="n">
        <v>34461</v>
      </c>
      <c r="H16" s="5" t="n">
        <v>34461</v>
      </c>
      <c r="I16" s="5" t="n">
        <v>74114</v>
      </c>
      <c r="J16" s="5" t="n">
        <v>49409</v>
      </c>
      <c r="K16" s="5" t="n">
        <v>11913</v>
      </c>
      <c r="L16" s="5" t="n">
        <v>135436</v>
      </c>
      <c r="M16" s="37" t="n">
        <v>-100975</v>
      </c>
      <c r="N16" s="38" t="n">
        <v>129455</v>
      </c>
      <c r="O16" s="39" t="n">
        <v>36247</v>
      </c>
      <c r="P16" s="37" t="n">
        <v>-112218</v>
      </c>
      <c r="Q16" s="40" t="n">
        <v>298180</v>
      </c>
      <c r="R16" s="5" t="n">
        <v>1912308</v>
      </c>
      <c r="S16" s="41" t="n">
        <v>298180</v>
      </c>
    </row>
    <row r="17">
      <c r="A17" s="20" t="n">
        <v>2050</v>
      </c>
      <c r="B17" s="21" t="n">
        <v>75</v>
      </c>
      <c r="C17" s="56" t="inlineStr">
        <is>
          <t>Slow-Go</t>
        </is>
      </c>
      <c r="D17" s="23" t="n">
        <v>298180</v>
      </c>
      <c r="E17" s="24" t="n">
        <v>12524</v>
      </c>
      <c r="F17" s="25" t="n">
        <v>0</v>
      </c>
      <c r="G17" s="55" t="n">
        <v>35150</v>
      </c>
      <c r="H17" s="23" t="n">
        <v>35150</v>
      </c>
      <c r="I17" s="23" t="n">
        <v>75966</v>
      </c>
      <c r="J17" s="23" t="n">
        <v>43048</v>
      </c>
      <c r="K17" s="23" t="n">
        <v>12330</v>
      </c>
      <c r="L17" s="23" t="n">
        <v>131344</v>
      </c>
      <c r="M17" s="27" t="n">
        <v>-96194</v>
      </c>
      <c r="N17" s="28" t="n">
        <v>123326</v>
      </c>
      <c r="O17" s="29" t="n">
        <v>34531</v>
      </c>
      <c r="P17" s="27" t="n">
        <v>-110802</v>
      </c>
      <c r="Q17" s="30" t="n">
        <v>187378</v>
      </c>
      <c r="R17" s="23" t="n">
        <v>2035634</v>
      </c>
      <c r="S17" s="31" t="n">
        <v>187378</v>
      </c>
    </row>
    <row r="18">
      <c r="A18" s="32" t="n">
        <v>2051</v>
      </c>
      <c r="B18" t="n">
        <v>76</v>
      </c>
      <c r="C18" s="57" t="inlineStr">
        <is>
          <t>Slow-Go</t>
        </is>
      </c>
      <c r="D18" s="5" t="n">
        <v>187378</v>
      </c>
      <c r="E18" s="34" t="n">
        <v>7870</v>
      </c>
      <c r="F18" s="35" t="n">
        <v>0</v>
      </c>
      <c r="G18" s="54" t="n">
        <v>35853</v>
      </c>
      <c r="H18" s="5" t="n">
        <v>35853</v>
      </c>
      <c r="I18" s="5" t="n">
        <v>77866</v>
      </c>
      <c r="J18" s="5" t="n">
        <v>44124</v>
      </c>
      <c r="K18" s="5" t="n">
        <v>12762</v>
      </c>
      <c r="L18" s="5" t="n">
        <v>134752</v>
      </c>
      <c r="M18" s="37" t="n">
        <v>-98899</v>
      </c>
      <c r="N18" s="38" t="n">
        <v>126794</v>
      </c>
      <c r="O18" s="39" t="n">
        <v>35502</v>
      </c>
      <c r="P18" s="37" t="n">
        <v>-118924</v>
      </c>
      <c r="Q18" s="40" t="n">
        <v>68454</v>
      </c>
      <c r="R18" s="5" t="n">
        <v>2162428</v>
      </c>
      <c r="S18" s="41" t="n">
        <v>68454</v>
      </c>
    </row>
    <row r="19">
      <c r="A19" s="20" t="n">
        <v>2052</v>
      </c>
      <c r="B19" s="21" t="n">
        <v>77</v>
      </c>
      <c r="C19" s="56" t="inlineStr">
        <is>
          <t>Slow-Go</t>
        </is>
      </c>
      <c r="D19" s="23" t="n">
        <v>68454</v>
      </c>
      <c r="E19" s="24" t="n">
        <v>2875</v>
      </c>
      <c r="F19" s="25" t="n">
        <v>0</v>
      </c>
      <c r="G19" s="55" t="n">
        <v>36570</v>
      </c>
      <c r="H19" s="23" t="n">
        <v>36570</v>
      </c>
      <c r="I19" s="23" t="n">
        <v>79812</v>
      </c>
      <c r="J19" s="23" t="n">
        <v>45227</v>
      </c>
      <c r="K19" s="23" t="n">
        <v>13208</v>
      </c>
      <c r="L19" s="23" t="n">
        <v>138247</v>
      </c>
      <c r="M19" s="27" t="n">
        <v>-101677</v>
      </c>
      <c r="N19" s="28" t="n">
        <v>130355</v>
      </c>
      <c r="O19" s="29" t="n">
        <v>36499</v>
      </c>
      <c r="P19" s="27" t="n">
        <v>-127480</v>
      </c>
      <c r="Q19" s="30" t="n">
        <v>0</v>
      </c>
      <c r="R19" s="23" t="n">
        <v>2292783</v>
      </c>
      <c r="S19" s="58" t="n">
        <v>0</v>
      </c>
    </row>
    <row r="20">
      <c r="A20" s="32" t="n">
        <v>2053</v>
      </c>
      <c r="B20" t="n">
        <v>78</v>
      </c>
      <c r="C20" s="57" t="inlineStr">
        <is>
          <t>Slow-Go</t>
        </is>
      </c>
      <c r="D20" s="5" t="n">
        <v>0</v>
      </c>
      <c r="E20" s="34" t="n">
        <v>0</v>
      </c>
      <c r="F20" s="35" t="n">
        <v>0</v>
      </c>
      <c r="G20" s="54" t="n">
        <v>37301</v>
      </c>
      <c r="H20" s="5" t="n">
        <v>37301</v>
      </c>
      <c r="I20" s="5" t="n">
        <v>81808</v>
      </c>
      <c r="J20" s="5" t="n">
        <v>46358</v>
      </c>
      <c r="K20" s="5" t="n">
        <v>13670</v>
      </c>
      <c r="L20" s="5" t="n">
        <v>141836</v>
      </c>
      <c r="M20" s="37" t="n">
        <v>-104535</v>
      </c>
      <c r="N20" s="38" t="n">
        <v>134019</v>
      </c>
      <c r="O20" s="39" t="n">
        <v>37525</v>
      </c>
      <c r="P20" s="37" t="n">
        <v>-134019</v>
      </c>
      <c r="Q20" s="40" t="n">
        <v>0</v>
      </c>
      <c r="R20" s="5" t="n">
        <v>2426802</v>
      </c>
      <c r="S20" s="59" t="n">
        <v>0</v>
      </c>
    </row>
    <row r="21">
      <c r="A21" s="20" t="n">
        <v>2054</v>
      </c>
      <c r="B21" s="21" t="n">
        <v>79</v>
      </c>
      <c r="C21" s="56" t="inlineStr">
        <is>
          <t>Slow-Go</t>
        </is>
      </c>
      <c r="D21" s="23" t="n">
        <v>0</v>
      </c>
      <c r="E21" s="24" t="n">
        <v>0</v>
      </c>
      <c r="F21" s="25" t="n">
        <v>0</v>
      </c>
      <c r="G21" s="55" t="n">
        <v>38047</v>
      </c>
      <c r="H21" s="23" t="n">
        <v>38047</v>
      </c>
      <c r="I21" s="23" t="n">
        <v>83853</v>
      </c>
      <c r="J21" s="23" t="n">
        <v>47517</v>
      </c>
      <c r="K21" s="23" t="n">
        <v>14149</v>
      </c>
      <c r="L21" s="23" t="n">
        <v>145519</v>
      </c>
      <c r="M21" s="27" t="n">
        <v>-107472</v>
      </c>
      <c r="N21" s="28" t="n">
        <v>137785</v>
      </c>
      <c r="O21" s="29" t="n">
        <v>38580</v>
      </c>
      <c r="P21" s="27" t="n">
        <v>-137785</v>
      </c>
      <c r="Q21" s="30" t="n">
        <v>0</v>
      </c>
      <c r="R21" s="23" t="n">
        <v>2564587</v>
      </c>
      <c r="S21" s="58" t="n">
        <v>0</v>
      </c>
    </row>
    <row r="22">
      <c r="A22" s="32" t="n">
        <v>2055</v>
      </c>
      <c r="B22" t="n">
        <v>80</v>
      </c>
      <c r="C22" s="57" t="inlineStr">
        <is>
          <t>Slow-Go</t>
        </is>
      </c>
      <c r="D22" s="5" t="n">
        <v>0</v>
      </c>
      <c r="E22" s="34" t="n">
        <v>0</v>
      </c>
      <c r="F22" s="35" t="n">
        <v>0</v>
      </c>
      <c r="G22" s="54" t="n">
        <v>38808</v>
      </c>
      <c r="H22" s="5" t="n">
        <v>38808</v>
      </c>
      <c r="I22" s="5" t="n">
        <v>85949</v>
      </c>
      <c r="J22" s="5" t="n">
        <v>48704</v>
      </c>
      <c r="K22" s="5" t="n">
        <v>14644</v>
      </c>
      <c r="L22" s="5" t="n">
        <v>149297</v>
      </c>
      <c r="M22" s="37" t="n">
        <v>-110489</v>
      </c>
      <c r="N22" s="38" t="n">
        <v>141653</v>
      </c>
      <c r="O22" s="39" t="n">
        <v>39663</v>
      </c>
      <c r="P22" s="37" t="n">
        <v>-141653</v>
      </c>
      <c r="Q22" s="40" t="n">
        <v>0</v>
      </c>
      <c r="R22" s="5" t="n">
        <v>2706240</v>
      </c>
      <c r="S22" s="59" t="n">
        <v>0</v>
      </c>
    </row>
    <row r="23">
      <c r="A23" s="20" t="n">
        <v>2056</v>
      </c>
      <c r="B23" s="21" t="n">
        <v>81</v>
      </c>
      <c r="C23" s="56" t="inlineStr">
        <is>
          <t>Slow-Go</t>
        </is>
      </c>
      <c r="D23" s="23" t="n">
        <v>0</v>
      </c>
      <c r="E23" s="24" t="n">
        <v>0</v>
      </c>
      <c r="F23" s="25" t="n">
        <v>0</v>
      </c>
      <c r="G23" s="55" t="n">
        <v>39584</v>
      </c>
      <c r="H23" s="23" t="n">
        <v>39584</v>
      </c>
      <c r="I23" s="23" t="n">
        <v>88098</v>
      </c>
      <c r="J23" s="23" t="n">
        <v>49922</v>
      </c>
      <c r="K23" s="23" t="n">
        <v>15157</v>
      </c>
      <c r="L23" s="23" t="n">
        <v>153177</v>
      </c>
      <c r="M23" s="27" t="n">
        <v>-113593</v>
      </c>
      <c r="N23" s="28" t="n">
        <v>145632</v>
      </c>
      <c r="O23" s="29" t="n">
        <v>40777</v>
      </c>
      <c r="P23" s="27" t="n">
        <v>-145632</v>
      </c>
      <c r="Q23" s="30" t="n">
        <v>0</v>
      </c>
      <c r="R23" s="23" t="n">
        <v>2851872</v>
      </c>
      <c r="S23" s="58" t="n">
        <v>0</v>
      </c>
    </row>
    <row r="24">
      <c r="A24" s="32" t="n">
        <v>2057</v>
      </c>
      <c r="B24" t="n">
        <v>82</v>
      </c>
      <c r="C24" s="57" t="inlineStr">
        <is>
          <t>Slow-Go</t>
        </is>
      </c>
      <c r="D24" s="5" t="n">
        <v>0</v>
      </c>
      <c r="E24" s="34" t="n">
        <v>0</v>
      </c>
      <c r="F24" s="35" t="n">
        <v>0</v>
      </c>
      <c r="G24" s="54" t="n">
        <v>40376</v>
      </c>
      <c r="H24" s="5" t="n">
        <v>40376</v>
      </c>
      <c r="I24" s="5" t="n">
        <v>90300</v>
      </c>
      <c r="J24" s="5" t="n">
        <v>51170</v>
      </c>
      <c r="K24" s="5" t="n">
        <v>15687</v>
      </c>
      <c r="L24" s="5" t="n">
        <v>157157</v>
      </c>
      <c r="M24" s="37" t="n">
        <v>-116781</v>
      </c>
      <c r="N24" s="38" t="n">
        <v>149719</v>
      </c>
      <c r="O24" s="39" t="n">
        <v>41921</v>
      </c>
      <c r="P24" s="37" t="n">
        <v>-149719</v>
      </c>
      <c r="Q24" s="40" t="n">
        <v>0</v>
      </c>
      <c r="R24" s="5" t="n">
        <v>3001591</v>
      </c>
      <c r="S24" s="59" t="n">
        <v>0</v>
      </c>
    </row>
    <row r="25">
      <c r="A25" s="20" t="n">
        <v>2058</v>
      </c>
      <c r="B25" s="21" t="n">
        <v>83</v>
      </c>
      <c r="C25" s="56" t="inlineStr">
        <is>
          <t>Slow-Go</t>
        </is>
      </c>
      <c r="D25" s="23" t="n">
        <v>0</v>
      </c>
      <c r="E25" s="24" t="n">
        <v>0</v>
      </c>
      <c r="F25" s="25" t="n">
        <v>0</v>
      </c>
      <c r="G25" s="55" t="n">
        <v>41184</v>
      </c>
      <c r="H25" s="23" t="n">
        <v>41184</v>
      </c>
      <c r="I25" s="23" t="n">
        <v>92558</v>
      </c>
      <c r="J25" s="23" t="n">
        <v>52449</v>
      </c>
      <c r="K25" s="23" t="n">
        <v>16236</v>
      </c>
      <c r="L25" s="23" t="n">
        <v>161243</v>
      </c>
      <c r="M25" s="27" t="n">
        <v>-120059</v>
      </c>
      <c r="N25" s="28" t="n">
        <v>153922</v>
      </c>
      <c r="O25" s="29" t="n">
        <v>43098</v>
      </c>
      <c r="P25" s="27" t="n">
        <v>-153922</v>
      </c>
      <c r="Q25" s="30" t="n">
        <v>0</v>
      </c>
      <c r="R25" s="23" t="n">
        <v>3155513</v>
      </c>
      <c r="S25" s="58" t="n">
        <v>0</v>
      </c>
    </row>
    <row r="26">
      <c r="A26" s="32" t="n">
        <v>2059</v>
      </c>
      <c r="B26" t="n">
        <v>84</v>
      </c>
      <c r="C26" s="57" t="inlineStr">
        <is>
          <t>Slow-Go</t>
        </is>
      </c>
      <c r="D26" s="5" t="n">
        <v>0</v>
      </c>
      <c r="E26" s="34" t="n">
        <v>0</v>
      </c>
      <c r="F26" s="35" t="n">
        <v>0</v>
      </c>
      <c r="G26" s="54" t="n">
        <v>42007</v>
      </c>
      <c r="H26" s="5" t="n">
        <v>42007</v>
      </c>
      <c r="I26" s="5" t="n">
        <v>94872</v>
      </c>
      <c r="J26" s="5" t="n">
        <v>53761</v>
      </c>
      <c r="K26" s="5" t="n">
        <v>16804</v>
      </c>
      <c r="L26" s="5" t="n">
        <v>165437</v>
      </c>
      <c r="M26" s="37" t="n">
        <v>-123430</v>
      </c>
      <c r="N26" s="38" t="n">
        <v>158244</v>
      </c>
      <c r="O26" s="39" t="n">
        <v>44308</v>
      </c>
      <c r="P26" s="37" t="n">
        <v>-158244</v>
      </c>
      <c r="Q26" s="40" t="n">
        <v>0</v>
      </c>
      <c r="R26" s="5" t="n">
        <v>3313757</v>
      </c>
      <c r="S26" s="59" t="n">
        <v>0</v>
      </c>
    </row>
    <row r="27">
      <c r="A27" s="20" t="n">
        <v>2060</v>
      </c>
      <c r="B27" s="21" t="n">
        <v>85</v>
      </c>
      <c r="C27" s="60" t="inlineStr">
        <is>
          <t>No-Go</t>
        </is>
      </c>
      <c r="D27" s="23" t="n">
        <v>0</v>
      </c>
      <c r="E27" s="24" t="n">
        <v>0</v>
      </c>
      <c r="F27" s="25" t="n">
        <v>0</v>
      </c>
      <c r="G27" s="55" t="n">
        <v>42847</v>
      </c>
      <c r="H27" s="23" t="n">
        <v>42847</v>
      </c>
      <c r="I27" s="23" t="n">
        <v>97244</v>
      </c>
      <c r="J27" s="23" t="n">
        <v>45380</v>
      </c>
      <c r="K27" s="23" t="n">
        <v>17393</v>
      </c>
      <c r="L27" s="23" t="n">
        <v>160017</v>
      </c>
      <c r="M27" s="27" t="n">
        <v>-117170</v>
      </c>
      <c r="N27" s="28" t="n">
        <v>150218</v>
      </c>
      <c r="O27" s="29" t="n">
        <v>42061</v>
      </c>
      <c r="P27" s="27" t="n">
        <v>-150218</v>
      </c>
      <c r="Q27" s="30" t="n">
        <v>0</v>
      </c>
      <c r="R27" s="23" t="n">
        <v>3463975</v>
      </c>
      <c r="S27" s="58" t="n">
        <v>0</v>
      </c>
    </row>
    <row r="28">
      <c r="A28" s="32" t="n">
        <v>2061</v>
      </c>
      <c r="B28" t="n">
        <v>86</v>
      </c>
      <c r="C28" s="61" t="inlineStr">
        <is>
          <t>No-Go</t>
        </is>
      </c>
      <c r="D28" s="5" t="n">
        <v>0</v>
      </c>
      <c r="E28" s="34" t="n">
        <v>0</v>
      </c>
      <c r="F28" s="35" t="n">
        <v>0</v>
      </c>
      <c r="G28" s="54" t="n">
        <v>43704</v>
      </c>
      <c r="H28" s="5" t="n">
        <v>43704</v>
      </c>
      <c r="I28" s="5" t="n">
        <v>99675</v>
      </c>
      <c r="J28" s="5" t="n">
        <v>46515</v>
      </c>
      <c r="K28" s="5" t="n">
        <v>18001</v>
      </c>
      <c r="L28" s="5" t="n">
        <v>164191</v>
      </c>
      <c r="M28" s="37" t="n">
        <v>-120487</v>
      </c>
      <c r="N28" s="38" t="n">
        <v>154471</v>
      </c>
      <c r="O28" s="39" t="n">
        <v>43252</v>
      </c>
      <c r="P28" s="37" t="n">
        <v>-154471</v>
      </c>
      <c r="Q28" s="40" t="n">
        <v>0</v>
      </c>
      <c r="R28" s="5" t="n">
        <v>3618446</v>
      </c>
      <c r="S28" s="59" t="n">
        <v>0</v>
      </c>
    </row>
    <row r="29">
      <c r="A29" s="20" t="n">
        <v>2062</v>
      </c>
      <c r="B29" s="21" t="n">
        <v>87</v>
      </c>
      <c r="C29" s="60" t="inlineStr">
        <is>
          <t>No-Go</t>
        </is>
      </c>
      <c r="D29" s="23" t="n">
        <v>0</v>
      </c>
      <c r="E29" s="24" t="n">
        <v>0</v>
      </c>
      <c r="F29" s="25" t="n">
        <v>0</v>
      </c>
      <c r="G29" s="55" t="n">
        <v>44578</v>
      </c>
      <c r="H29" s="23" t="n">
        <v>44578</v>
      </c>
      <c r="I29" s="23" t="n">
        <v>102166</v>
      </c>
      <c r="J29" s="23" t="n">
        <v>47678</v>
      </c>
      <c r="K29" s="23" t="n">
        <v>18631</v>
      </c>
      <c r="L29" s="23" t="n">
        <v>168475</v>
      </c>
      <c r="M29" s="27" t="n">
        <v>-123897</v>
      </c>
      <c r="N29" s="28" t="n">
        <v>158842</v>
      </c>
      <c r="O29" s="29" t="n">
        <v>44476</v>
      </c>
      <c r="P29" s="27" t="n">
        <v>-158842</v>
      </c>
      <c r="Q29" s="30" t="n">
        <v>0</v>
      </c>
      <c r="R29" s="23" t="n">
        <v>3777288</v>
      </c>
      <c r="S29" s="58" t="n">
        <v>0</v>
      </c>
    </row>
    <row r="30">
      <c r="A30" s="32" t="n">
        <v>2063</v>
      </c>
      <c r="B30" t="n">
        <v>88</v>
      </c>
      <c r="C30" s="61" t="inlineStr">
        <is>
          <t>No-Go</t>
        </is>
      </c>
      <c r="D30" s="5" t="n">
        <v>0</v>
      </c>
      <c r="E30" s="34" t="n">
        <v>0</v>
      </c>
      <c r="F30" s="35" t="n">
        <v>0</v>
      </c>
      <c r="G30" s="54" t="n">
        <v>45470</v>
      </c>
      <c r="H30" s="5" t="n">
        <v>45470</v>
      </c>
      <c r="I30" s="5" t="n">
        <v>104721</v>
      </c>
      <c r="J30" s="5" t="n">
        <v>48870</v>
      </c>
      <c r="K30" s="5" t="n">
        <v>19284</v>
      </c>
      <c r="L30" s="5" t="n">
        <v>172875</v>
      </c>
      <c r="M30" s="37" t="n">
        <v>-127405</v>
      </c>
      <c r="N30" s="38" t="n">
        <v>163340</v>
      </c>
      <c r="O30" s="39" t="n">
        <v>45735</v>
      </c>
      <c r="P30" s="37" t="n">
        <v>-163340</v>
      </c>
      <c r="Q30" s="40" t="n">
        <v>0</v>
      </c>
      <c r="R30" s="5" t="n">
        <v>3940628</v>
      </c>
      <c r="S30" s="59" t="n">
        <v>0</v>
      </c>
    </row>
    <row r="31">
      <c r="A31" s="20" t="n">
        <v>2064</v>
      </c>
      <c r="B31" s="21" t="n">
        <v>89</v>
      </c>
      <c r="C31" s="60" t="inlineStr">
        <is>
          <t>No-Go</t>
        </is>
      </c>
      <c r="D31" s="23" t="n">
        <v>0</v>
      </c>
      <c r="E31" s="24" t="n">
        <v>0</v>
      </c>
      <c r="F31" s="25" t="n">
        <v>0</v>
      </c>
      <c r="G31" s="55" t="n">
        <v>46379</v>
      </c>
      <c r="H31" s="23" t="n">
        <v>46379</v>
      </c>
      <c r="I31" s="23" t="n">
        <v>107339</v>
      </c>
      <c r="J31" s="23" t="n">
        <v>50091</v>
      </c>
      <c r="K31" s="23" t="n">
        <v>19958</v>
      </c>
      <c r="L31" s="23" t="n">
        <v>177388</v>
      </c>
      <c r="M31" s="27" t="n">
        <v>-131009</v>
      </c>
      <c r="N31" s="28" t="n">
        <v>167960</v>
      </c>
      <c r="O31" s="29" t="n">
        <v>47029</v>
      </c>
      <c r="P31" s="27" t="n">
        <v>-167960</v>
      </c>
      <c r="Q31" s="30" t="n">
        <v>0</v>
      </c>
      <c r="R31" s="23" t="n">
        <v>4108588</v>
      </c>
      <c r="S31" s="58" t="n">
        <v>0</v>
      </c>
    </row>
    <row r="32">
      <c r="A32" s="32" t="n">
        <v>2065</v>
      </c>
      <c r="B32" t="n">
        <v>90</v>
      </c>
      <c r="C32" s="61" t="inlineStr">
        <is>
          <t>No-Go</t>
        </is>
      </c>
      <c r="D32" s="5" t="n">
        <v>0</v>
      </c>
      <c r="E32" s="34" t="n">
        <v>0</v>
      </c>
      <c r="F32" s="35" t="n">
        <v>0</v>
      </c>
      <c r="G32" s="54" t="n">
        <v>47307</v>
      </c>
      <c r="H32" s="5" t="n">
        <v>47307</v>
      </c>
      <c r="I32" s="5" t="n">
        <v>110022</v>
      </c>
      <c r="J32" s="5" t="n">
        <v>51344</v>
      </c>
      <c r="K32" s="5" t="n">
        <v>128657</v>
      </c>
      <c r="L32" s="5" t="n">
        <v>290023</v>
      </c>
      <c r="M32" s="37" t="n">
        <v>-242716</v>
      </c>
      <c r="N32" s="38" t="n">
        <v>311174</v>
      </c>
      <c r="O32" s="39" t="n">
        <v>87129</v>
      </c>
      <c r="P32" s="37" t="n">
        <v>-311174</v>
      </c>
      <c r="Q32" s="40" t="n">
        <v>0</v>
      </c>
      <c r="R32" s="5" t="n">
        <v>4419762</v>
      </c>
      <c r="S32" s="59" t="n">
        <v>0</v>
      </c>
    </row>
    <row r="33">
      <c r="A33" s="20" t="n">
        <v>2066</v>
      </c>
      <c r="B33" s="21" t="n">
        <v>91</v>
      </c>
      <c r="C33" s="60" t="inlineStr">
        <is>
          <t>No-Go</t>
        </is>
      </c>
      <c r="D33" s="23" t="n">
        <v>0</v>
      </c>
      <c r="E33" s="24" t="n">
        <v>0</v>
      </c>
      <c r="F33" s="25" t="n">
        <v>0</v>
      </c>
      <c r="G33" s="55" t="n">
        <v>48253</v>
      </c>
      <c r="H33" s="23" t="n">
        <v>48253</v>
      </c>
      <c r="I33" s="23" t="n">
        <v>112773</v>
      </c>
      <c r="J33" s="23" t="n">
        <v>52627</v>
      </c>
      <c r="K33" s="23" t="n">
        <v>150980</v>
      </c>
      <c r="L33" s="23" t="n">
        <v>316380</v>
      </c>
      <c r="M33" s="27" t="n">
        <v>-268127</v>
      </c>
      <c r="N33" s="28" t="n">
        <v>343753</v>
      </c>
      <c r="O33" s="29" t="n">
        <v>96251</v>
      </c>
      <c r="P33" s="27" t="n">
        <v>-343753</v>
      </c>
      <c r="Q33" s="30" t="n">
        <v>0</v>
      </c>
      <c r="R33" s="23" t="n">
        <v>4763515</v>
      </c>
      <c r="S33" s="58" t="n">
        <v>0</v>
      </c>
    </row>
    <row r="34">
      <c r="A34" s="32" t="n">
        <v>2067</v>
      </c>
      <c r="B34" t="n">
        <v>92</v>
      </c>
      <c r="C34" s="61" t="inlineStr">
        <is>
          <t>No-Go</t>
        </is>
      </c>
      <c r="D34" s="5" t="n">
        <v>0</v>
      </c>
      <c r="E34" s="34" t="n">
        <v>0</v>
      </c>
      <c r="F34" s="35" t="n">
        <v>0</v>
      </c>
      <c r="G34" s="54" t="n">
        <v>49218</v>
      </c>
      <c r="H34" s="5" t="n">
        <v>49218</v>
      </c>
      <c r="I34" s="5" t="n">
        <v>115592</v>
      </c>
      <c r="J34" s="5" t="n">
        <v>53943</v>
      </c>
      <c r="K34" s="5" t="n">
        <v>173328</v>
      </c>
      <c r="L34" s="5" t="n">
        <v>342863</v>
      </c>
      <c r="M34" s="37" t="n">
        <v>-293645</v>
      </c>
      <c r="N34" s="38" t="n">
        <v>376468</v>
      </c>
      <c r="O34" s="39" t="n">
        <v>105411</v>
      </c>
      <c r="P34" s="37" t="n">
        <v>-376468</v>
      </c>
      <c r="Q34" s="40" t="n">
        <v>0</v>
      </c>
      <c r="R34" s="5" t="n">
        <v>5139983</v>
      </c>
      <c r="S34" s="59" t="n">
        <v>0</v>
      </c>
    </row>
    <row r="35">
      <c r="A35" s="20" t="n">
        <v>2068</v>
      </c>
      <c r="B35" s="21" t="n">
        <v>93</v>
      </c>
      <c r="C35" s="60" t="inlineStr">
        <is>
          <t>No-Go</t>
        </is>
      </c>
      <c r="D35" s="23" t="n">
        <v>0</v>
      </c>
      <c r="E35" s="24" t="n">
        <v>0</v>
      </c>
      <c r="F35" s="25" t="n">
        <v>0</v>
      </c>
      <c r="G35" s="55" t="n">
        <v>50203</v>
      </c>
      <c r="H35" s="23" t="n">
        <v>50203</v>
      </c>
      <c r="I35" s="23" t="n">
        <v>118482</v>
      </c>
      <c r="J35" s="23" t="n">
        <v>55292</v>
      </c>
      <c r="K35" s="23" t="n">
        <v>195703</v>
      </c>
      <c r="L35" s="23" t="n">
        <v>369477</v>
      </c>
      <c r="M35" s="27" t="n">
        <v>-319274</v>
      </c>
      <c r="N35" s="28" t="n">
        <v>409326</v>
      </c>
      <c r="O35" s="29" t="n">
        <v>114611</v>
      </c>
      <c r="P35" s="27" t="n">
        <v>-409326</v>
      </c>
      <c r="Q35" s="30" t="n">
        <v>0</v>
      </c>
      <c r="R35" s="23" t="n">
        <v>5549309</v>
      </c>
      <c r="S35" s="58" t="n">
        <v>0</v>
      </c>
    </row>
    <row r="36">
      <c r="A36" s="32" t="n">
        <v>2069</v>
      </c>
      <c r="B36" t="n">
        <v>94</v>
      </c>
      <c r="C36" s="61" t="inlineStr">
        <is>
          <t>No-Go</t>
        </is>
      </c>
      <c r="D36" s="5" t="n">
        <v>0</v>
      </c>
      <c r="E36" s="34" t="n">
        <v>0</v>
      </c>
      <c r="F36" s="35" t="n">
        <v>0</v>
      </c>
      <c r="G36" s="54" t="n">
        <v>51207</v>
      </c>
      <c r="H36" s="5" t="n">
        <v>51207</v>
      </c>
      <c r="I36" s="5" t="n">
        <v>121444</v>
      </c>
      <c r="J36" s="5" t="n">
        <v>56674</v>
      </c>
      <c r="K36" s="5" t="n">
        <v>218104</v>
      </c>
      <c r="L36" s="5" t="n">
        <v>396222</v>
      </c>
      <c r="M36" s="37" t="n">
        <v>-345015</v>
      </c>
      <c r="N36" s="38" t="n">
        <v>442327</v>
      </c>
      <c r="O36" s="39" t="n">
        <v>123852</v>
      </c>
      <c r="P36" s="37" t="n">
        <v>-442327</v>
      </c>
      <c r="Q36" s="40" t="n">
        <v>0</v>
      </c>
      <c r="R36" s="5" t="n">
        <v>5991636</v>
      </c>
      <c r="S36" s="59" t="n">
        <v>0</v>
      </c>
    </row>
    <row r="37">
      <c r="A37" s="20" t="n">
        <v>2070</v>
      </c>
      <c r="B37" s="21" t="n">
        <v>95</v>
      </c>
      <c r="C37" s="60" t="inlineStr">
        <is>
          <t>No-Go</t>
        </is>
      </c>
      <c r="D37" s="23" t="n">
        <v>0</v>
      </c>
      <c r="E37" s="24" t="n">
        <v>0</v>
      </c>
      <c r="F37" s="25" t="n">
        <v>0</v>
      </c>
      <c r="G37" s="55" t="n">
        <v>52231</v>
      </c>
      <c r="H37" s="23" t="n">
        <v>52231</v>
      </c>
      <c r="I37" s="23" t="n">
        <v>124480</v>
      </c>
      <c r="J37" s="23" t="n">
        <v>58091</v>
      </c>
      <c r="K37" s="23" t="n">
        <v>240534</v>
      </c>
      <c r="L37" s="23" t="n">
        <v>423105</v>
      </c>
      <c r="M37" s="27" t="n">
        <v>-370874</v>
      </c>
      <c r="N37" s="28" t="n">
        <v>475479</v>
      </c>
      <c r="O37" s="29" t="n">
        <v>133134</v>
      </c>
      <c r="P37" s="27" t="n">
        <v>-475479</v>
      </c>
      <c r="Q37" s="30" t="n">
        <v>0</v>
      </c>
      <c r="R37" s="23" t="n">
        <v>6467115</v>
      </c>
      <c r="S37" s="58" t="n">
        <v>0</v>
      </c>
    </row>
    <row r="39">
      <c r="A39" s="62" t="inlineStr">
        <is>
          <t>SUMMARY</t>
        </is>
      </c>
    </row>
    <row r="40">
      <c r="A40" s="63" t="inlineStr">
        <is>
          <t>Starting Portfolio (at retirement)</t>
        </is>
      </c>
      <c r="D40" s="41" t="n">
        <v>1571000</v>
      </c>
    </row>
    <row r="41">
      <c r="A41" s="63" t="inlineStr">
        <is>
          <t>Total Investment Returns</t>
        </is>
      </c>
      <c r="D41" t="inlineStr">
        <is>
          <t>See yearly breakdown</t>
        </is>
      </c>
    </row>
    <row r="42">
      <c r="A42" s="63" t="inlineStr">
        <is>
          <t>Total Withdrawals</t>
        </is>
      </c>
      <c r="D42" s="41" t="n">
        <v>6467115</v>
      </c>
    </row>
    <row r="43">
      <c r="A43" s="63" t="inlineStr">
        <is>
          <t>Legacy at Age 95</t>
        </is>
      </c>
      <c r="D43" s="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2026-04-05T21:18:50Z</dcterms:created>
  <dcterms:modified xsi:type="dcterms:W3CDTF">2026-04-05T21:18:50Z</dcterms:modified>
</cp:coreProperties>
</file>